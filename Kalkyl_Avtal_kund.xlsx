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lkyl" sheetId="1" r:id="rId1"/>
    <sheet name="Utskrif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40.83203125" customWidth="1"/>
    <col min="2" max="2" width="10.83203125" customWidth="1"/>
    <col min="3" max="3" width="10.83203125" customWidth="1"/>
    <col min="4" max="4" width="12.83203125" customWidth="1"/>
    <col min="5" max="5" width="14.83203125" customWidth="1"/>
    <col min="6" max="6" width="20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Kalkyl förebyggande underhåll – pris per servicebesök</v>
      </c>
    </row>
    <row r="2">
      <c r="A2" t="str">
        <v>Offertnummer</v>
      </c>
      <c r="B2" t="str">
        <v/>
      </c>
    </row>
    <row r="3">
      <c r="A3" t="str">
        <v>Kund</v>
      </c>
      <c r="B3" t="str">
        <v/>
      </c>
    </row>
    <row r="4">
      <c r="A4" t="str">
        <v>Projekt / övrig info</v>
      </c>
      <c r="B4" t="str">
        <v>Förebyggande underhåll</v>
      </c>
    </row>
    <row r="6">
      <c r="A6" t="str">
        <v>Timpris (kr/h)</v>
      </c>
      <c r="B6">
        <v>975</v>
      </c>
      <c r="C6" t="str">
        <v>Framkörning (kr/st)</v>
      </c>
      <c r="D6">
        <v>745</v>
      </c>
      <c r="E6" t="str">
        <v>Rabatt timpris (%)</v>
      </c>
      <c r="F6">
        <v>0</v>
      </c>
      <c r="G6" t="str">
        <v>Utjämning per besök (kr)</v>
      </c>
      <c r="H6">
        <v>0</v>
      </c>
    </row>
    <row r="7">
      <c r="A7" t="str">
        <v>Produkt</v>
      </c>
      <c r="B7" t="str">
        <v>Antal</v>
      </c>
      <c r="C7" t="str">
        <v>Besök/år</v>
      </c>
      <c r="D7" t="str">
        <v>Tid (min)</v>
      </c>
      <c r="E7" t="str">
        <v>Total min</v>
      </c>
      <c r="F7" t="str">
        <v>Styckpris besök 1 (kr)</v>
      </c>
      <c r="G7" t="str">
        <v>Fabrikat</v>
      </c>
      <c r="H7" t="str">
        <v>Tillverkningsnr</v>
      </c>
      <c r="I7" t="str">
        <v>Besiktningsnr</v>
      </c>
    </row>
    <row r="8">
      <c r="A8" t="str">
        <v>Port A1</v>
      </c>
      <c r="B8">
        <v>1</v>
      </c>
      <c r="C8">
        <v>1</v>
      </c>
      <c r="D8">
        <v>60</v>
      </c>
      <c r="E8">
        <f>B8*D8</f>
      </c>
      <c r="F8">
        <f>IF($E$12&gt;0,E8/$E$12*$E$13/B8,0)</f>
      </c>
      <c r="G8" t="str">
        <v/>
      </c>
      <c r="H8" t="str">
        <v/>
      </c>
      <c r="I8" t="str">
        <v/>
      </c>
    </row>
    <row r="9">
      <c r="A9" t="str">
        <v>Port B1</v>
      </c>
      <c r="B9">
        <v>1</v>
      </c>
      <c r="C9">
        <v>2</v>
      </c>
      <c r="D9">
        <v>120</v>
      </c>
      <c r="E9">
        <f>B9*D9</f>
      </c>
      <c r="F9">
        <f>IF($E$12&gt;0,E9/$E$12*$E$13/B9,0)</f>
      </c>
      <c r="G9" t="str">
        <v/>
      </c>
      <c r="H9" t="str">
        <v/>
      </c>
      <c r="I9" t="str">
        <v/>
      </c>
    </row>
    <row r="11">
      <c r="A11" t="str">
        <v>Totalt</v>
      </c>
      <c r="B11">
        <f>SUM(B8:B9)</f>
      </c>
      <c r="C11" t="str">
        <v/>
      </c>
      <c r="D11" t="str">
        <v/>
      </c>
      <c r="E11">
        <f>SUM(E8:E9)</f>
      </c>
    </row>
    <row r="12">
      <c r="A12" t="str">
        <v>Besök 1: total min (objekt med ≥1 besök/år)</v>
      </c>
      <c r="B12" t="str">
        <v/>
      </c>
      <c r="C12" t="str">
        <v/>
      </c>
      <c r="D12" t="str">
        <v/>
      </c>
      <c r="E12">
        <f>SUMPRODUCT(($C$8:$C$9&gt;=1)*$E$8:$E$9)</f>
      </c>
    </row>
    <row r="13">
      <c r="A13" t="str">
        <v>Besök 1: pris per besök exkl. moms</v>
      </c>
      <c r="B13" t="str">
        <v/>
      </c>
      <c r="C13" t="str">
        <v/>
      </c>
      <c r="D13" t="str">
        <v/>
      </c>
      <c r="E13">
        <f>IF(E12&gt;0,E12/60*$B$6*(1-$F$6)+ROUNDUP(E12/480,0)*$D$6+$H$6,0)</f>
      </c>
    </row>
    <row r="14">
      <c r="A14" t="str">
        <v>Besök 2: total min (objekt med ≥2 besök/år)</v>
      </c>
      <c r="B14" t="str">
        <v/>
      </c>
      <c r="C14" t="str">
        <v/>
      </c>
      <c r="D14" t="str">
        <v/>
      </c>
      <c r="E14">
        <f>SUMPRODUCT(($C$8:$C$9&gt;=2)*$E$8:$E$9)</f>
      </c>
    </row>
    <row r="15">
      <c r="A15" t="str">
        <v>Besök 2: pris per besök exkl. moms</v>
      </c>
      <c r="B15" t="str">
        <v/>
      </c>
      <c r="C15" t="str">
        <v/>
      </c>
      <c r="D15" t="str">
        <v/>
      </c>
      <c r="E15">
        <f>IF(E14&gt;0,E14/60*$B$6*(1-$F$6)+ROUNDUP(E14/480,0)*$D$6+$H$6,0)</f>
      </c>
    </row>
    <row r="16">
      <c r="A16" t="str">
        <v>Kostnad per år exkl. moms</v>
      </c>
      <c r="B16" t="str">
        <v/>
      </c>
      <c r="C16" t="str">
        <v/>
      </c>
      <c r="D16" t="str">
        <v/>
      </c>
      <c r="E16">
        <f>E13+E15</f>
      </c>
    </row>
    <row r="17">
      <c r="A17" t="str">
        <v>Kostnad 5 år exkl. moms</v>
      </c>
      <c r="B17" t="str">
        <v/>
      </c>
      <c r="C17" t="str">
        <v/>
      </c>
      <c r="D17" t="str">
        <v/>
      </c>
      <c r="E17">
        <f>E16*5</f>
      </c>
    </row>
  </sheetData>
  <ignoredErrors>
    <ignoredError numberStoredAsText="1" sqref="A1:I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40.83203125" customWidth="1"/>
    <col min="2" max="2" width="14.83203125" customWidth="1"/>
    <col min="3" max="3" width="10.83203125" customWidth="1"/>
  </cols>
  <sheetData>
    <row r="1">
      <c r="A1" t="str">
        <v>Bilaga 1. Kostnad</v>
      </c>
    </row>
    <row r="3">
      <c r="A3" t="str">
        <v>Kund</v>
      </c>
      <c r="B3" t="str">
        <v/>
      </c>
    </row>
    <row r="4">
      <c r="A4" t="str">
        <v>Offertnummer</v>
      </c>
      <c r="B4" t="str">
        <v/>
      </c>
    </row>
    <row r="5">
      <c r="A5" t="str">
        <v>Projekt</v>
      </c>
      <c r="B5" t="str">
        <v>Förebyggande underhåll</v>
      </c>
    </row>
    <row r="7">
      <c r="A7" t="str">
        <v>Objekt</v>
      </c>
      <c r="B7" t="str">
        <v>Antal</v>
      </c>
      <c r="C7" t="str">
        <v>Besök/år</v>
      </c>
    </row>
    <row r="8">
      <c r="A8" t="str">
        <v>Port A1</v>
      </c>
      <c r="B8">
        <v>1</v>
      </c>
      <c r="C8">
        <v>1</v>
      </c>
    </row>
    <row r="9">
      <c r="A9" t="str">
        <v>Port B1</v>
      </c>
      <c r="B9">
        <v>1</v>
      </c>
      <c r="C9">
        <v>2</v>
      </c>
    </row>
    <row r="11">
      <c r="A11" t="str">
        <v>Totalt antal objekt</v>
      </c>
      <c r="B11">
        <v>2</v>
      </c>
    </row>
    <row r="12">
      <c r="A12" t="str">
        <v>Kostnad servicebesök 1 exkl. moms</v>
      </c>
      <c r="B12">
        <v>3670</v>
      </c>
    </row>
    <row r="13">
      <c r="A13" t="str">
        <v>Kostnad servicebesök 2 exkl. moms</v>
      </c>
      <c r="B13">
        <v>2695</v>
      </c>
    </row>
    <row r="14">
      <c r="A14" t="str">
        <v>Kostnad per år exkl. moms</v>
      </c>
      <c r="B14">
        <v>6365</v>
      </c>
    </row>
    <row r="15">
      <c r="A15" t="str">
        <v>Kostnad 5 år garantiservice exkl. moms</v>
      </c>
      <c r="B15">
        <v>31825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Kalkyl</vt:lpstr>
      <vt:lpstr>Utskrift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