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Drive\UK Portservice AB\UK - Dokument\Mallar\"/>
    </mc:Choice>
  </mc:AlternateContent>
  <xr:revisionPtr revIDLastSave="0" documentId="8_{122D6F56-5E93-463E-88E9-A9B1EA71275F}" xr6:coauthVersionLast="47" xr6:coauthVersionMax="47" xr10:uidLastSave="{00000000-0000-0000-0000-000000000000}"/>
  <bookViews>
    <workbookView xWindow="-120" yWindow="-120" windowWidth="29040" windowHeight="15720" xr2:uid="{F4DBB187-17F2-4013-AF46-735D932A10EF}"/>
  </bookViews>
  <sheets>
    <sheet name="Kalkyl" sheetId="1" r:id="rId1"/>
    <sheet name="Utskrif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E7" i="2" s="1"/>
  <c r="A6" i="2"/>
  <c r="E6" i="2" s="1"/>
  <c r="A5" i="2"/>
  <c r="E5" i="2" s="1"/>
  <c r="A18" i="2" l="1"/>
  <c r="E18" i="2" s="1"/>
  <c r="A19" i="2"/>
  <c r="E19" i="2" s="1"/>
  <c r="A20" i="2"/>
  <c r="E20" i="2" s="1"/>
  <c r="B18" i="2"/>
  <c r="F18" i="2" s="1"/>
  <c r="B19" i="2"/>
  <c r="F19" i="2" s="1"/>
  <c r="B20" i="2"/>
  <c r="F20" i="2" s="1"/>
  <c r="B17" i="2"/>
  <c r="F17" i="2" s="1"/>
  <c r="A17" i="2"/>
  <c r="E17" i="2" s="1"/>
  <c r="A14" i="2"/>
  <c r="E14" i="2" s="1"/>
  <c r="A15" i="2"/>
  <c r="E15" i="2" s="1"/>
  <c r="A16" i="2"/>
  <c r="E16" i="2" s="1"/>
  <c r="B14" i="2"/>
  <c r="F14" i="2" s="1"/>
  <c r="B15" i="2"/>
  <c r="F15" i="2" s="1"/>
  <c r="B16" i="2"/>
  <c r="F16" i="2" s="1"/>
  <c r="B13" i="2"/>
  <c r="F13" i="2" s="1"/>
  <c r="A13" i="2"/>
  <c r="E13" i="2" s="1"/>
  <c r="B12" i="2"/>
  <c r="F12" i="2" s="1"/>
  <c r="A12" i="2"/>
  <c r="E12" i="2" s="1"/>
  <c r="B11" i="2"/>
  <c r="F11" i="2" s="1"/>
  <c r="A11" i="2"/>
  <c r="E11" i="2" s="1"/>
  <c r="F21" i="2" l="1"/>
  <c r="B21" i="2"/>
  <c r="E11" i="1" a="1"/>
  <c r="E11" i="1" s="1"/>
  <c r="E12" i="1" a="1"/>
  <c r="E12" i="1" s="1"/>
  <c r="E13" i="1" a="1"/>
  <c r="E13" i="1" s="1"/>
  <c r="E14" i="1" a="1"/>
  <c r="E14" i="1" s="1"/>
  <c r="B15" i="1"/>
  <c r="C21" i="1" a="1"/>
  <c r="C21" i="1" s="1"/>
  <c r="D6" i="1"/>
  <c r="D7" i="1"/>
  <c r="D8" i="1"/>
  <c r="D9" i="1"/>
  <c r="D10" i="1"/>
  <c r="D11" i="1"/>
  <c r="D12" i="1"/>
  <c r="D13" i="1"/>
  <c r="D14" i="1"/>
  <c r="D5" i="1"/>
  <c r="D15" i="1" l="1"/>
  <c r="B17" i="1" l="1"/>
  <c r="D17" i="1" s="1"/>
  <c r="B23" i="1" s="1" a="1"/>
  <c r="B23" i="1" s="1"/>
  <c r="B19" i="1"/>
  <c r="D19" i="1" s="1"/>
  <c r="D21" i="1" l="1" a="1"/>
  <c r="D21" i="1" s="1"/>
  <c r="C23" i="1" s="1" a="1"/>
  <c r="C23" i="1" s="1"/>
  <c r="E23" i="1" l="1"/>
  <c r="B25" i="1" l="1" a="1"/>
  <c r="B25" i="1" s="1"/>
  <c r="D25" i="1" s="1"/>
  <c r="E10" i="1" s="1" a="1"/>
  <c r="E10" i="1" s="1"/>
  <c r="B27" i="2" a="1"/>
  <c r="B27" i="2" s="1"/>
  <c r="F27" i="2" l="1"/>
  <c r="F28" i="2" s="1"/>
  <c r="B28" i="2"/>
  <c r="E8" i="1" a="1"/>
  <c r="E8" i="1" s="1"/>
  <c r="E9" i="1" a="1"/>
  <c r="E9" i="1" s="1"/>
  <c r="E7" i="1" a="1"/>
  <c r="E7" i="1" s="1"/>
  <c r="E6" i="1" a="1"/>
  <c r="E6" i="1" s="1"/>
  <c r="E5" i="1" a="1"/>
  <c r="E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<sst xmlns="http://schemas.openxmlformats.org/spreadsheetml/2006/main" count="42" uniqueCount="28">
  <si>
    <t>OFFERTNUMMER</t>
  </si>
  <si>
    <t>KUND</t>
  </si>
  <si>
    <t>Produkt</t>
  </si>
  <si>
    <t>Antal</t>
  </si>
  <si>
    <t>Total</t>
  </si>
  <si>
    <t>Summa</t>
  </si>
  <si>
    <t>Framkörning</t>
  </si>
  <si>
    <t>Pris/st</t>
  </si>
  <si>
    <t>Arbetskostnad</t>
  </si>
  <si>
    <t>Kostnad/tillfälle</t>
  </si>
  <si>
    <t>Kostnad/x 2 x 5 år</t>
  </si>
  <si>
    <t>Total/tillfälle</t>
  </si>
  <si>
    <t>Utjämning</t>
  </si>
  <si>
    <t>Timmar</t>
  </si>
  <si>
    <t>Rabatt</t>
  </si>
  <si>
    <t>Procent</t>
  </si>
  <si>
    <t>Pris/t (Brutto)</t>
  </si>
  <si>
    <t>Pris/t (Netto)</t>
  </si>
  <si>
    <t>Tid (Minuter)</t>
  </si>
  <si>
    <t>Total (Minuter)</t>
  </si>
  <si>
    <t>Styckespris</t>
  </si>
  <si>
    <t>Objekt</t>
  </si>
  <si>
    <t>Antal servicetillfällen per år:</t>
  </si>
  <si>
    <t>Kostnad per servicetillfälle (exkl. moms):</t>
  </si>
  <si>
    <t>Totalt antal objekt:</t>
  </si>
  <si>
    <t>PROJEKT ELLER ÖVRIG INFO</t>
  </si>
  <si>
    <t>Kostnad per år (exkl. moms):</t>
  </si>
  <si>
    <t>Kostnad 5 år garantiservice (exkl. moms):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</si>
</sst>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&quot;_-;\-* #,##0.00\ &quot;kr&quot;_-;_-* &quot;-&quot;??\ &quot;kr&quot;_-;_-@_-"/>
    <numFmt numFmtId="164" formatCode="#,##0.00\ &quot;kr&quot;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44" fontId="0" fillId="0" borderId="0" xfId="0" applyNumberFormat="1"/>
    <xf numFmtId="0" fontId="0" fillId="0" borderId="0" xfId="0" applyAlignment="1">
      <alignment horizontal="center"/>
    </xf>
    <xf numFmtId="9" fontId="0" fillId="3" borderId="0" xfId="1" applyFont="1" applyFill="1" applyAlignment="1">
      <alignment horizontal="center"/>
    </xf>
    <xf numFmtId="44" fontId="0" fillId="3" borderId="0" xfId="0" applyNumberFormat="1" applyFill="1"/>
    <xf numFmtId="44" fontId="0" fillId="0" borderId="0" xfId="0" applyNumberFormat="1" applyAlignment="1">
      <alignment horizontal="center"/>
    </xf>
    <xf numFmtId="0" fontId="0" fillId="8" borderId="4" xfId="0" applyFill="1" applyBorder="1"/>
    <xf numFmtId="0" fontId="0" fillId="4" borderId="5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4" fillId="0" borderId="0" xfId="0" applyFont="1"/>
    <xf numFmtId="0" fontId="3" fillId="0" borderId="0" xfId="0" applyFont="1"/>
    <xf numFmtId="14" fontId="4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/>
    </xf>
    <xf numFmtId="0" fontId="0" fillId="0" borderId="1" xfId="0" applyBorder="1"/>
    <xf numFmtId="44" fontId="8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Procent" xfId="1" builtinId="5"/>
  </cellStyles>
  <dxfs count="20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4" formatCode="_-* #,##0.00\ &quot;kr&quot;_-;\-* #,##0.00\ &quot;kr&quot;_-;_-* &quot;-&quot;??\ &quot;kr&quot;_-;_-@_-"/>
    </dxf>
    <dxf>
      <numFmt numFmtId="34" formatCode="_-* #,##0.00\ &quot;kr&quot;_-;\-* #,##0.00\ &quot;kr&quot;_-;_-* &quot;-&quot;??\ &quot;kr&quot;_-;_-@_-"/>
    </dxf>
    <dxf>
      <numFmt numFmtId="164" formatCode="#,##0.00\ &quot;kr&quot;"/>
    </dxf>
    <dxf>
      <numFmt numFmtId="34" formatCode="_-* #,##0.00\ &quot;kr&quot;_-;\-* #,##0.00\ &quot;kr&quot;_-;_-* &quot;-&quot;??\ &quot;kr&quot;_-;_-@_-"/>
    </dxf>
    <dxf>
      <numFmt numFmtId="34" formatCode="_-* #,##0.00\ &quot;kr&quot;_-;\-* #,##0.00\ &quot;kr&quot;_-;_-* &quot;-&quot;??\ &quot;kr&quot;_-;_-@_-"/>
    </dxf>
    <dxf>
      <alignment horizontal="center" vertical="bottom" textRotation="0" wrapText="0" indent="0" justifyLastLine="0" shrinkToFit="0" readingOrder="0"/>
    </dxf>
    <dxf>
      <numFmt numFmtId="34" formatCode="_-* #,##0.00\ &quot;kr&quot;_-;\-* #,##0.00\ &quot;kr&quot;_-;_-* &quot;-&quot;??\ &quot;kr&quot;_-;_-@_-"/>
    </dxf>
    <dxf>
      <numFmt numFmtId="34" formatCode="_-* #,##0.00\ &quot;kr&quot;_-;\-* #,##0.00\ &quot;kr&quot;_-;_-* &quot;-&quot;??\ &quot;kr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72970-40FA-4431-BE06-B95CE5327D17}" name="Tabell1" displayName="Tabell1" ref="A4:E15" totalsRowCount="1" dataDxfId="19" tableBorderDxfId="18">
  <autoFilter ref="A4:E14" xr:uid="{A8A72970-40FA-4431-BE06-B95CE5327D1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8A5DA48-87C4-4C12-8CB2-609E7AB66125}" name="Produkt" totalsRowLabel="Summa" dataDxfId="17"/>
    <tableColumn id="2" xr3:uid="{C82E4B66-7878-431F-B490-665268C38C16}" name="Antal" totalsRowFunction="sum" dataDxfId="16" totalsRowDxfId="15"/>
    <tableColumn id="3" xr3:uid="{151CEE2C-6FAE-4E0A-8777-03442C21C14B}" name="Tid (Minuter)" dataDxfId="14"/>
    <tableColumn id="4" xr3:uid="{D6E8D0F1-242D-4DB5-B726-45D652D41612}" name="Total (Minuter)" totalsRowFunction="sum" dataDxfId="13" totalsRowDxfId="12">
      <calculatedColumnFormula>Tabell1[[#This Row],[Antal]]*Tabell1[[#This Row],[Tid (Minuter)]]</calculatedColumnFormula>
    </tableColumn>
    <tableColumn id="5" xr3:uid="{A6B7839A-C90F-46FF-8981-512EBD85F089}" name="Styckespris" dataDxfId="11">
      <calculatedColumnFormula array="1">IF(Tabell1[[#This Row],[Antal]]&gt;0,(Tabell1[[#This Row],[Total (Minuter)]]/Tabell1[[#Totals],[Total (Minuter)]])*(Tabell5[Total]/10)/Tabell1[[#This Row],[Antal]],0)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17C3E8-934E-4FA0-B503-9D8ED929FC9C}" name="Tabell2" displayName="Tabell2" ref="A16:D17" totalsRowShown="0">
  <autoFilter ref="A16:D17" xr:uid="{EC17C3E8-934E-4FA0-B503-9D8ED929FC9C}">
    <filterColumn colId="0" hiddenButton="1"/>
    <filterColumn colId="1" hiddenButton="1"/>
    <filterColumn colId="2" hiddenButton="1"/>
    <filterColumn colId="3" hiddenButton="1"/>
  </autoFilter>
  <tableColumns count="4">
    <tableColumn id="1" xr3:uid="{8ADEC969-5BE8-4B49-94A5-9FEE8838D4FA}" name="Framkörning"/>
    <tableColumn id="2" xr3:uid="{1D512CAF-2387-41D2-B3EF-8F7C5DD8E0D6}" name="Antal" dataDxfId="10">
      <calculatedColumnFormula>IF(Tabell1[[#Totals],[Total (Minuter)]]=0,0,IF(Tabell1[[#Totals],[Total (Minuter)]]&lt;=480,1,IF(Tabell1[[#Totals],[Total (Minuter)]]&lt;=960,2,IF(Tabell1[[#Totals],[Total (Minuter)]]&lt;=1440,3,IF(Tabell1[[#Totals],[Total (Minuter)]]&lt;=1920,4,IF(Tabell1[[#Totals],[Total (Minuter)]]&lt;=2400,5,IF(Tabell1[[#Totals],[Total (Minuter)]]&lt;=2880,6,IF(Tabell1[[#Totals],[Total (Minuter)]]&lt;=3360,7,IF(Tabell1[[#Totals],[Total (Minuter)]]&lt;=3840,8,IF(Tabell1[[#Totals],[Total (Minuter)]]&lt;=4320,9,IF(Tabell1[[#Totals],[Total (Minuter)]]&lt;=4800,10,11)))))))))))</calculatedColumnFormula>
    </tableColumn>
    <tableColumn id="3" xr3:uid="{F5F11B66-12D9-4961-A085-53A331DFFA6B}" name="Pris/st" dataDxfId="9"/>
    <tableColumn id="4" xr3:uid="{158A4C4E-474D-4F7F-BB3E-377F74A67E5D}" name="Summa" dataDxfId="8">
      <calculatedColumnFormula>Tabell2[[#This Row],[Antal]]*Tabell2[[#This Row],[Pris/st]]</calculatedColumnFormula>
    </tableColumn>
  </tableColumns>
  <tableStyleInfo name="TableStyleMedium1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87FF64-2F65-4EB3-8B5C-C11596CA5979}" name="Tabell3" displayName="Tabell3" ref="A18:D19" totalsRowShown="0">
  <autoFilter ref="A18:D19" xr:uid="{BE87FF64-2F65-4EB3-8B5C-C11596CA5979}">
    <filterColumn colId="0" hiddenButton="1"/>
    <filterColumn colId="1" hiddenButton="1"/>
    <filterColumn colId="2" hiddenButton="1"/>
    <filterColumn colId="3" hiddenButton="1"/>
  </autoFilter>
  <tableColumns count="4">
    <tableColumn id="1" xr3:uid="{1C804781-E3E1-4DA3-8BAD-888F1E83E2C1}" name="Arbetskostnad"/>
    <tableColumn id="2" xr3:uid="{407FE0B6-D090-4B24-8217-1AF8EAAC120A}" name="Timmar" dataDxfId="7">
      <calculatedColumnFormula>Tabell1[[#Totals],[Total (Minuter)]]/60</calculatedColumnFormula>
    </tableColumn>
    <tableColumn id="3" xr3:uid="{E49F8274-E990-4639-935C-F75697FF5CB8}" name="Pris/t (Brutto)" dataDxfId="6"/>
    <tableColumn id="4" xr3:uid="{D867E5BC-49B8-4556-A770-C5CFB18C261A}" name="Summa" dataDxfId="5">
      <calculatedColumnFormula>Tabell3[[#This Row],[Timmar]]*Tabell3[[#This Row],[Pris/t (Brutto)]]</calculatedColumnFormula>
    </tableColumn>
  </tableColumns>
  <tableStyleInfo name="TableStyleMedium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4F1118-3A4C-4CFE-A39F-3F11249D2007}" name="Tabell4" displayName="Tabell4" ref="A22:E23" totalsRowShown="0">
  <autoFilter ref="A22:E23" xr:uid="{324F1118-3A4C-4CFE-A39F-3F11249D200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EFE526A-9184-4F5B-A0A1-4E835201D1A1}" name="Kostnad/tillfälle"/>
    <tableColumn id="2" xr3:uid="{D936DF76-05B3-401D-AB8A-C32F951F6B2A}" name="Framkörning">
      <calculatedColumnFormula array="1">Tabell2[Summa]</calculatedColumnFormula>
    </tableColumn>
    <tableColumn id="3" xr3:uid="{0BD79F1F-AEA0-4836-858F-67C813CCE846}" name="Arbetskostnad">
      <calculatedColumnFormula array="1">Tabell6[Summa]</calculatedColumnFormula>
    </tableColumn>
    <tableColumn id="4" xr3:uid="{6E1AB0A2-C349-4F26-B4E6-244127D3E705}" name="Utjämning" dataDxfId="4"/>
    <tableColumn id="5" xr3:uid="{A14D4A8D-9CC5-44D7-841A-A7ADDBE38B1B}" name="Summa" dataDxfId="3">
      <calculatedColumnFormula>Tabell4[[#This Row],[Framkörning]]+Tabell4[[#This Row],[Arbetskostnad]]+Tabell4[[#This Row],[Utjämning]]</calculatedColumnFormula>
    </tableColumn>
  </tableColumns>
  <tableStyleInfo name="TableStyleMedium20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8D6161-ACCC-4D2E-9015-BA74922DFDF4}" name="Tabell5" displayName="Tabell5" ref="A24:D25" totalsRowShown="0">
  <autoFilter ref="A24:D25" xr:uid="{968D6161-ACCC-4D2E-9015-BA74922DFDF4}">
    <filterColumn colId="0" hiddenButton="1"/>
    <filterColumn colId="1" hiddenButton="1"/>
    <filterColumn colId="2" hiddenButton="1"/>
    <filterColumn colId="3" hiddenButton="1"/>
  </autoFilter>
  <tableColumns count="4">
    <tableColumn id="1" xr3:uid="{0CD07674-2E78-40F2-B2C7-CF94B8D37FE5}" name="Kostnad/x 2 x 5 år"/>
    <tableColumn id="2" xr3:uid="{933B617C-EC43-4AD6-A4A5-E9960EE7305D}" name="Total/tillfälle">
      <calculatedColumnFormula array="1">Tabell4[Summa]</calculatedColumnFormula>
    </tableColumn>
    <tableColumn id="3" xr3:uid="{4512DAFC-26D5-4357-AB3C-D18DDE28778C}" name="Utjämning" dataDxfId="2"/>
    <tableColumn id="4" xr3:uid="{94185F83-1D93-453E-B322-92FDC2B4B871}" name="Total">
      <calculatedColumnFormula>Tabell5[[#This Row],[Utjämning]]+Tabell5[[#This Row],[Total/tillfälle]]*10</calculatedColumnFormula>
    </tableColumn>
  </tableColumns>
  <tableStyleInfo name="TableStyleMedium19" showFirstColumn="0" showLastColumn="1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81AFB3-A1B1-475B-A2ED-C107A5D46294}" name="Tabell6" displayName="Tabell6" ref="A20:D21" totalsRowShown="0">
  <autoFilter ref="A20:D21" xr:uid="{8381AFB3-A1B1-475B-A2ED-C107A5D46294}">
    <filterColumn colId="0" hiddenButton="1"/>
    <filterColumn colId="1" hiddenButton="1"/>
    <filterColumn colId="2" hiddenButton="1"/>
    <filterColumn colId="3" hiddenButton="1"/>
  </autoFilter>
  <tableColumns count="4">
    <tableColumn id="1" xr3:uid="{75815C2F-E5DE-4E0B-9E57-D62371D7F80D}" name="Rabatt"/>
    <tableColumn id="2" xr3:uid="{6DB0A1B1-2AA4-4292-9D22-67202BF05A30}" name="Procent" dataDxfId="1" dataCellStyle="Procent"/>
    <tableColumn id="3" xr3:uid="{778FAA9C-0369-418D-8707-2CF7DF57F52C}" name="Pris/t (Netto)" dataDxfId="0">
      <calculatedColumnFormula array="1">Tabell3[Pris/t (Brutto)]-(Tabell3[Pris/t (Brutto)]*Tabell6[[#This Row],[Procent]])</calculatedColumnFormula>
    </tableColumn>
    <tableColumn id="4" xr3:uid="{84186E90-2CCC-495D-A3D0-263F608EB32B}" name="Summa">
      <calculatedColumnFormula array="1">Tabell3[Timmar]*Tabell6[[#This Row],[Pris/t (Netto)]]</calculatedColumnFormula>
    </tableColumn>
  </tableColumns>
  <tableStyleInfo name="TableStyleMedium21" showFirstColumn="0" showLastColumn="0" showRowStripes="0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EB63-D5BB-4C47-B75B-22CBCDDF8488}">
  <dimension ref="A1:G25"/>
  <sheetViews>
    <sheetView showGridLines="0" tabSelected="1" workbookViewId="0">
      <selection activeCell="C24" sqref="C24"/>
    </sheetView>
  </sheetViews>
  <sheetFormatPr defaultRowHeight="15" x14ac:dyDescent="0.25"/>
  <cols>
    <col min="1" max="1" width="27.140625" customWidth="1"/>
    <col min="2" max="2" width="13.7109375" bestFit="1" customWidth="1"/>
    <col min="3" max="3" width="14.140625" bestFit="1" customWidth="1"/>
    <col min="4" max="4" width="15.140625" bestFit="1" customWidth="1"/>
    <col min="5" max="5" width="13.7109375" bestFit="1" customWidth="1"/>
    <col min="6" max="6" width="16.85546875" bestFit="1" customWidth="1"/>
    <col min="7" max="7" width="11.5703125" bestFit="1" customWidth="1"/>
  </cols>
  <sheetData>
    <row r="1" spans="1:7" x14ac:dyDescent="0.25">
      <c r="A1" s="1" t="s">
        <v>0</v>
      </c>
      <c r="B1" s="38"/>
      <c r="C1" s="39"/>
      <c r="D1" s="39"/>
      <c r="E1" s="39"/>
      <c r="G1" s="36"/>
    </row>
    <row r="2" spans="1:7" x14ac:dyDescent="0.25">
      <c r="A2" s="1" t="s">
        <v>1</v>
      </c>
      <c r="B2" s="38"/>
      <c r="C2" s="39"/>
      <c r="D2" s="39"/>
      <c r="E2" s="39"/>
    </row>
    <row r="3" spans="1:7" x14ac:dyDescent="0.25">
      <c r="A3" s="2" t="s">
        <v>25</v>
      </c>
      <c r="B3" s="40"/>
      <c r="C3" s="41"/>
      <c r="D3" s="41"/>
      <c r="E3" s="41"/>
    </row>
    <row r="4" spans="1:7" x14ac:dyDescent="0.25">
      <c r="A4" t="s">
        <v>2</v>
      </c>
      <c r="B4" t="s">
        <v>3</v>
      </c>
      <c r="C4" t="s">
        <v>18</v>
      </c>
      <c r="D4" t="s">
        <v>19</v>
      </c>
      <c r="E4" t="s">
        <v>20</v>
      </c>
    </row>
    <row r="5" spans="1:7" x14ac:dyDescent="0.25">
      <c r="A5" s="4"/>
      <c r="B5" s="4"/>
      <c r="C5" s="4"/>
      <c r="D5" s="4">
        <f>Tabell1[[#This Row],[Antal]]*Tabell1[[#This Row],[Tid (Minuter)]]</f>
        <v>0</v>
      </c>
      <c r="E5" s="7" cm="1">
        <f t="array" ref="E5">IF(Tabell1[[#This Row],[Antal]]&gt;0,(Tabell1[[#This Row],[Total (Minuter)]]/Tabell1[[#Totals],[Total (Minuter)]])*(Tabell5[Total]/10)/Tabell1[[#This Row],[Antal]],0)</f>
        <v>0</v>
      </c>
    </row>
    <row r="6" spans="1:7" x14ac:dyDescent="0.25">
      <c r="A6" s="4"/>
      <c r="B6" s="4"/>
      <c r="C6" s="4"/>
      <c r="D6" s="4">
        <f>Tabell1[[#This Row],[Antal]]*Tabell1[[#This Row],[Tid (Minuter)]]</f>
        <v>0</v>
      </c>
      <c r="E6" s="7" cm="1">
        <f t="array" ref="E6">IF(Tabell1[[#This Row],[Antal]]&gt;0,(Tabell1[[#This Row],[Total (Minuter)]]/Tabell1[[#Totals],[Total (Minuter)]])*(Tabell5[Total]/10)/Tabell1[[#This Row],[Antal]],0)</f>
        <v>0</v>
      </c>
    </row>
    <row r="7" spans="1:7" x14ac:dyDescent="0.25">
      <c r="A7" s="4"/>
      <c r="B7" s="4"/>
      <c r="C7" s="4"/>
      <c r="D7" s="4">
        <f>Tabell1[[#This Row],[Antal]]*Tabell1[[#This Row],[Tid (Minuter)]]</f>
        <v>0</v>
      </c>
      <c r="E7" s="7" cm="1">
        <f t="array" ref="E7">IF(Tabell1[[#This Row],[Antal]]&gt;0,(Tabell1[[#This Row],[Total (Minuter)]]/Tabell1[[#Totals],[Total (Minuter)]])*(Tabell5[Total]/10)/Tabell1[[#This Row],[Antal]],0)</f>
        <v>0</v>
      </c>
    </row>
    <row r="8" spans="1:7" x14ac:dyDescent="0.25">
      <c r="A8" s="4"/>
      <c r="B8" s="4"/>
      <c r="C8" s="4"/>
      <c r="D8" s="4">
        <f>Tabell1[[#This Row],[Antal]]*Tabell1[[#This Row],[Tid (Minuter)]]</f>
        <v>0</v>
      </c>
      <c r="E8" s="7" cm="1">
        <f t="array" ref="E8">IF(Tabell1[[#This Row],[Antal]]&gt;0,(Tabell1[[#This Row],[Total (Minuter)]]/Tabell1[[#Totals],[Total (Minuter)]])*(Tabell5[Total]/10)/Tabell1[[#This Row],[Antal]],0)</f>
        <v>0</v>
      </c>
    </row>
    <row r="9" spans="1:7" x14ac:dyDescent="0.25">
      <c r="A9" s="4"/>
      <c r="B9" s="4"/>
      <c r="C9" s="4"/>
      <c r="D9" s="4">
        <f>Tabell1[[#This Row],[Antal]]*Tabell1[[#This Row],[Tid (Minuter)]]</f>
        <v>0</v>
      </c>
      <c r="E9" s="7" cm="1">
        <f t="array" ref="E9">IF(Tabell1[[#This Row],[Antal]]&gt;0,(Tabell1[[#This Row],[Total (Minuter)]]/Tabell1[[#Totals],[Total (Minuter)]])*(Tabell5[Total]/10)/Tabell1[[#This Row],[Antal]],0)</f>
        <v>0</v>
      </c>
    </row>
    <row r="10" spans="1:7" x14ac:dyDescent="0.25">
      <c r="A10" s="4"/>
      <c r="B10" s="4"/>
      <c r="C10" s="4"/>
      <c r="D10" s="4">
        <f>Tabell1[[#This Row],[Antal]]*Tabell1[[#This Row],[Tid (Minuter)]]</f>
        <v>0</v>
      </c>
      <c r="E10" s="7" cm="1">
        <f t="array" ref="E10">IF(Tabell1[[#This Row],[Antal]]&gt;0,(Tabell1[[#This Row],[Total (Minuter)]]/Tabell1[[#Totals],[Total (Minuter)]])*(Tabell5[Total]/10)/Tabell1[[#This Row],[Antal]],0)</f>
        <v>0</v>
      </c>
    </row>
    <row r="11" spans="1:7" x14ac:dyDescent="0.25">
      <c r="A11" s="4"/>
      <c r="B11" s="4"/>
      <c r="C11" s="4"/>
      <c r="D11" s="4">
        <f>Tabell1[[#This Row],[Antal]]*Tabell1[[#This Row],[Tid (Minuter)]]</f>
        <v>0</v>
      </c>
      <c r="E11" s="7" cm="1">
        <f t="array" ref="E11">IF(Tabell1[[#This Row],[Antal]]&gt;0,(Tabell1[[#This Row],[Total (Minuter)]]/Tabell1[[#Totals],[Total (Minuter)]])*(Tabell5[Total]/10)/Tabell1[[#This Row],[Antal]],0)</f>
        <v>0</v>
      </c>
    </row>
    <row r="12" spans="1:7" x14ac:dyDescent="0.25">
      <c r="A12" s="4"/>
      <c r="B12" s="4"/>
      <c r="C12" s="4"/>
      <c r="D12" s="4">
        <f>Tabell1[[#This Row],[Antal]]*Tabell1[[#This Row],[Tid (Minuter)]]</f>
        <v>0</v>
      </c>
      <c r="E12" s="7" cm="1">
        <f t="array" ref="E12">IF(Tabell1[[#This Row],[Antal]]&gt;0,(Tabell1[[#This Row],[Total (Minuter)]]/Tabell1[[#Totals],[Total (Minuter)]])*(Tabell5[Total]/10)/Tabell1[[#This Row],[Antal]],0)</f>
        <v>0</v>
      </c>
    </row>
    <row r="13" spans="1:7" x14ac:dyDescent="0.25">
      <c r="A13" s="4"/>
      <c r="B13" s="4"/>
      <c r="C13" s="4"/>
      <c r="D13" s="4">
        <f>Tabell1[[#This Row],[Antal]]*Tabell1[[#This Row],[Tid (Minuter)]]</f>
        <v>0</v>
      </c>
      <c r="E13" s="7" cm="1">
        <f t="array" ref="E13">IF(Tabell1[[#This Row],[Antal]]&gt;0,(Tabell1[[#This Row],[Total (Minuter)]]/Tabell1[[#Totals],[Total (Minuter)]])*(Tabell5[Total]/10)/Tabell1[[#This Row],[Antal]],0)</f>
        <v>0</v>
      </c>
    </row>
    <row r="14" spans="1:7" x14ac:dyDescent="0.25">
      <c r="A14" s="4"/>
      <c r="B14" s="4"/>
      <c r="C14" s="4"/>
      <c r="D14" s="4">
        <f>Tabell1[[#This Row],[Antal]]*Tabell1[[#This Row],[Tid (Minuter)]]</f>
        <v>0</v>
      </c>
      <c r="E14" s="7" cm="1">
        <f t="array" ref="E14">IF(Tabell1[[#This Row],[Antal]]&gt;0,(Tabell1[[#This Row],[Total (Minuter)]]/Tabell1[[#Totals],[Total (Minuter)]])*(Tabell5[Total]/10)/Tabell1[[#This Row],[Antal]],0)</f>
        <v>0</v>
      </c>
    </row>
    <row r="15" spans="1:7" x14ac:dyDescent="0.25">
      <c r="A15" t="s">
        <v>5</v>
      </c>
      <c r="B15" s="4">
        <f>SUBTOTAL(109,Tabell1[Antal])</f>
        <v>0</v>
      </c>
      <c r="D15" s="4">
        <f>SUBTOTAL(109,Tabell1[Total (Minuter)])</f>
        <v>0</v>
      </c>
    </row>
    <row r="16" spans="1:7" ht="15.75" thickBot="1" x14ac:dyDescent="0.3">
      <c r="A16" t="s">
        <v>6</v>
      </c>
      <c r="B16" t="s">
        <v>3</v>
      </c>
      <c r="C16" t="s">
        <v>7</v>
      </c>
      <c r="D16" t="s">
        <v>5</v>
      </c>
      <c r="E16" s="9"/>
    </row>
    <row r="17" spans="1:5" ht="15.75" thickBot="1" x14ac:dyDescent="0.3">
      <c r="B17" s="4">
        <f>IF(Tabell1[[#Totals],[Total (Minuter)]]=0,0,IF(Tabell1[[#Totals],[Total (Minuter)]]&lt;=480,1,IF(Tabell1[[#Totals],[Total (Minuter)]]&lt;=960,2,IF(Tabell1[[#Totals],[Total (Minuter)]]&lt;=1440,3,IF(Tabell1[[#Totals],[Total (Minuter)]]&lt;=1920,4,IF(Tabell1[[#Totals],[Total (Minuter)]]&lt;=2400,5,IF(Tabell1[[#Totals],[Total (Minuter)]]&lt;=2880,6,IF(Tabell1[[#Totals],[Total (Minuter)]]&lt;=3360,7,IF(Tabell1[[#Totals],[Total (Minuter)]]&lt;=3840,8,IF(Tabell1[[#Totals],[Total (Minuter)]]&lt;=4320,9,IF(Tabell1[[#Totals],[Total (Minuter)]]&lt;=4800,10,11)))))))))))</f>
        <v>0</v>
      </c>
      <c r="C17" s="3">
        <v>745</v>
      </c>
      <c r="D17" s="3">
        <f>Tabell2[[#This Row],[Antal]]*Tabell2[[#This Row],[Pris/st]]</f>
        <v>0</v>
      </c>
      <c r="E17" s="10"/>
    </row>
    <row r="18" spans="1:5" ht="15.75" thickBot="1" x14ac:dyDescent="0.3">
      <c r="A18" t="s">
        <v>8</v>
      </c>
      <c r="B18" t="s">
        <v>13</v>
      </c>
      <c r="C18" t="s">
        <v>16</v>
      </c>
      <c r="D18" t="s">
        <v>5</v>
      </c>
      <c r="E18" s="11"/>
    </row>
    <row r="19" spans="1:5" ht="15.75" thickBot="1" x14ac:dyDescent="0.3">
      <c r="B19" s="4">
        <f>Tabell1[[#Totals],[Total (Minuter)]]/60</f>
        <v>0</v>
      </c>
      <c r="C19" s="3">
        <v>975</v>
      </c>
      <c r="D19" s="3">
        <f>Tabell3[[#This Row],[Timmar]]*Tabell3[[#This Row],[Pris/t (Brutto)]]</f>
        <v>0</v>
      </c>
      <c r="E19" s="11"/>
    </row>
    <row r="20" spans="1:5" ht="15.75" thickBot="1" x14ac:dyDescent="0.3">
      <c r="A20" t="s">
        <v>14</v>
      </c>
      <c r="B20" t="s">
        <v>15</v>
      </c>
      <c r="C20" t="s">
        <v>17</v>
      </c>
      <c r="D20" t="s">
        <v>5</v>
      </c>
      <c r="E20" s="12"/>
    </row>
    <row r="21" spans="1:5" ht="15.75" thickBot="1" x14ac:dyDescent="0.3">
      <c r="B21" s="5">
        <v>0</v>
      </c>
      <c r="C21" s="6" cm="1">
        <f t="array" ref="C21">Tabell3[Pris/t (Brutto)]-(Tabell3[Pris/t (Brutto)]*Tabell6[[#This Row],[Procent]])</f>
        <v>975</v>
      </c>
      <c r="D21" s="3" cm="1">
        <f t="array" ref="D21">Tabell3[Timmar]*Tabell6[[#This Row],[Pris/t (Netto)]]</f>
        <v>0</v>
      </c>
      <c r="E21" s="12"/>
    </row>
    <row r="22" spans="1:5" ht="15.75" thickBot="1" x14ac:dyDescent="0.3">
      <c r="A22" t="s">
        <v>9</v>
      </c>
      <c r="B22" t="s">
        <v>6</v>
      </c>
      <c r="C22" t="s">
        <v>8</v>
      </c>
      <c r="D22" t="s">
        <v>12</v>
      </c>
      <c r="E22" s="13" t="s">
        <v>5</v>
      </c>
    </row>
    <row r="23" spans="1:5" ht="15.75" thickBot="1" x14ac:dyDescent="0.3">
      <c r="B23" s="3" cm="1">
        <f t="array" ref="B23">Tabell2[Summa]</f>
        <v>0</v>
      </c>
      <c r="C23" s="3" cm="1">
        <f t="array" ref="C23">Tabell6[Summa]</f>
        <v>0</v>
      </c>
      <c r="D23" s="17">
        <v>0</v>
      </c>
      <c r="E23" s="3">
        <f>Tabell4[[#This Row],[Framkörning]]+Tabell4[[#This Row],[Arbetskostnad]]+Tabell4[[#This Row],[Utjämning]]</f>
        <v>0</v>
      </c>
    </row>
    <row r="24" spans="1:5" ht="15.75" thickBot="1" x14ac:dyDescent="0.3">
      <c r="A24" t="s">
        <v>10</v>
      </c>
      <c r="B24" t="s">
        <v>11</v>
      </c>
      <c r="C24" t="s">
        <v>12</v>
      </c>
      <c r="D24" t="s">
        <v>4</v>
      </c>
      <c r="E24" s="8"/>
    </row>
    <row r="25" spans="1:5" ht="15.75" thickBot="1" x14ac:dyDescent="0.3">
      <c r="B25" s="3" cm="1">
        <f t="array" ref="B25">Tabell4[Summa]</f>
        <v>0</v>
      </c>
      <c r="C25" s="3">
        <v>0</v>
      </c>
      <c r="D25" s="3">
        <f>Tabell5[[#This Row],[Utjämning]]+Tabell5[[#This Row],[Total/tillfälle]]*10</f>
        <v>0</v>
      </c>
      <c r="E25" s="8"/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 horizontalDpi="1200" verticalDpi="120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6EB3-67BB-4B3B-BC3E-DD69F277D0EA}">
  <dimension ref="A5:I29"/>
  <sheetViews>
    <sheetView showZeros="0" showWhiteSpace="0" view="pageLayout" zoomScale="82" zoomScaleNormal="100" zoomScalePageLayoutView="82" workbookViewId="0">
      <selection activeCell="C30" sqref="C30"/>
    </sheetView>
  </sheetViews>
  <sheetFormatPr defaultColWidth="9.140625" defaultRowHeight="14.25" x14ac:dyDescent="0.2"/>
  <cols>
    <col min="1" max="1" width="47" style="14" customWidth="1"/>
    <col min="2" max="2" width="16.140625" style="14" customWidth="1"/>
    <col min="3" max="4" width="9.140625" style="14"/>
    <col min="5" max="5" width="49.85546875" style="14" customWidth="1"/>
    <col min="6" max="6" width="14.85546875" style="14" bestFit="1" customWidth="1"/>
    <col min="7" max="7" width="6.5703125" style="14" customWidth="1"/>
    <col min="8" max="9" width="9.140625" style="14" customWidth="1"/>
    <col min="10" max="16384" width="9.140625" style="14"/>
  </cols>
  <sheetData>
    <row r="5" spans="1:9" s="18" customFormat="1" ht="15" customHeight="1" x14ac:dyDescent="0.25">
      <c r="A5" s="20">
        <f>Kalkyl!B2</f>
        <v>0</v>
      </c>
      <c r="B5" s="21"/>
      <c r="E5" s="20">
        <f>A5</f>
        <v>0</v>
      </c>
      <c r="F5" s="21"/>
    </row>
    <row r="6" spans="1:9" s="18" customFormat="1" ht="15" customHeight="1" x14ac:dyDescent="0.25">
      <c r="A6" s="20">
        <f>Kalkyl!B1</f>
        <v>0</v>
      </c>
      <c r="B6" s="21"/>
      <c r="C6" s="19"/>
      <c r="D6" s="19"/>
      <c r="E6" s="20">
        <f t="shared" ref="E6:E7" si="0">A6</f>
        <v>0</v>
      </c>
      <c r="F6" s="21"/>
    </row>
    <row r="7" spans="1:9" s="18" customFormat="1" ht="15" customHeight="1" x14ac:dyDescent="0.25">
      <c r="A7" s="22">
        <f>Kalkyl!B3</f>
        <v>0</v>
      </c>
      <c r="B7" s="21"/>
      <c r="E7" s="20">
        <f t="shared" si="0"/>
        <v>0</v>
      </c>
      <c r="F7" s="21"/>
    </row>
    <row r="8" spans="1:9" s="18" customFormat="1" ht="15" customHeight="1" x14ac:dyDescent="0.25">
      <c r="A8" s="22"/>
      <c r="B8" s="21"/>
      <c r="E8" s="22"/>
      <c r="F8" s="21"/>
    </row>
    <row r="9" spans="1:9" ht="14.25" customHeight="1" x14ac:dyDescent="0.4">
      <c r="A9" s="23"/>
      <c r="B9" s="23"/>
      <c r="C9" s="15"/>
      <c r="D9" s="15"/>
      <c r="E9" s="23"/>
      <c r="F9" s="23"/>
      <c r="G9" s="15"/>
      <c r="H9" s="15"/>
      <c r="I9" s="15"/>
    </row>
    <row r="10" spans="1:9" ht="19.5" customHeight="1" x14ac:dyDescent="0.4">
      <c r="A10" s="24" t="s">
        <v>21</v>
      </c>
      <c r="B10" s="25" t="s">
        <v>3</v>
      </c>
      <c r="C10" s="15"/>
      <c r="D10" s="15"/>
      <c r="E10" s="24" t="s">
        <v>21</v>
      </c>
      <c r="F10" s="25" t="s">
        <v>3</v>
      </c>
      <c r="G10" s="15"/>
      <c r="H10" s="15"/>
      <c r="I10" s="15"/>
    </row>
    <row r="11" spans="1:9" ht="19.5" customHeight="1" x14ac:dyDescent="0.2">
      <c r="A11" s="26">
        <f>Kalkyl!A5</f>
        <v>0</v>
      </c>
      <c r="B11" s="27">
        <f>Kalkyl!B5</f>
        <v>0</v>
      </c>
      <c r="E11" s="26">
        <f>A11</f>
        <v>0</v>
      </c>
      <c r="F11" s="27">
        <f>B11</f>
        <v>0</v>
      </c>
    </row>
    <row r="12" spans="1:9" ht="20.100000000000001" customHeight="1" x14ac:dyDescent="0.2">
      <c r="A12" s="26">
        <f>Kalkyl!A6</f>
        <v>0</v>
      </c>
      <c r="B12" s="27">
        <f>Kalkyl!B6</f>
        <v>0</v>
      </c>
      <c r="E12" s="26">
        <f t="shared" ref="E12:E20" si="1">A12</f>
        <v>0</v>
      </c>
      <c r="F12" s="27">
        <f t="shared" ref="F12:F20" si="2">B12</f>
        <v>0</v>
      </c>
    </row>
    <row r="13" spans="1:9" ht="19.5" customHeight="1" x14ac:dyDescent="0.2">
      <c r="A13" s="26">
        <f>Kalkyl!A7</f>
        <v>0</v>
      </c>
      <c r="B13" s="27">
        <f>Kalkyl!B7</f>
        <v>0</v>
      </c>
      <c r="E13" s="26">
        <f t="shared" si="1"/>
        <v>0</v>
      </c>
      <c r="F13" s="27">
        <f t="shared" si="2"/>
        <v>0</v>
      </c>
    </row>
    <row r="14" spans="1:9" ht="19.5" customHeight="1" x14ac:dyDescent="0.2">
      <c r="A14" s="26">
        <f>Kalkyl!A8</f>
        <v>0</v>
      </c>
      <c r="B14" s="27">
        <f>Kalkyl!B8</f>
        <v>0</v>
      </c>
      <c r="E14" s="26">
        <f t="shared" si="1"/>
        <v>0</v>
      </c>
      <c r="F14" s="27">
        <f t="shared" si="2"/>
        <v>0</v>
      </c>
    </row>
    <row r="15" spans="1:9" ht="19.5" customHeight="1" x14ac:dyDescent="0.2">
      <c r="A15" s="26">
        <f>Kalkyl!A9</f>
        <v>0</v>
      </c>
      <c r="B15" s="27">
        <f>Kalkyl!B9</f>
        <v>0</v>
      </c>
      <c r="C15" s="16"/>
      <c r="D15" s="16"/>
      <c r="E15" s="26">
        <f t="shared" si="1"/>
        <v>0</v>
      </c>
      <c r="F15" s="27">
        <f t="shared" si="2"/>
        <v>0</v>
      </c>
      <c r="G15" s="16"/>
      <c r="H15" s="16"/>
      <c r="I15" s="16"/>
    </row>
    <row r="16" spans="1:9" ht="19.5" customHeight="1" x14ac:dyDescent="0.2">
      <c r="A16" s="26">
        <f>Kalkyl!A10</f>
        <v>0</v>
      </c>
      <c r="B16" s="27">
        <f>Kalkyl!B10</f>
        <v>0</v>
      </c>
      <c r="E16" s="26">
        <f t="shared" si="1"/>
        <v>0</v>
      </c>
      <c r="F16" s="27">
        <f t="shared" si="2"/>
        <v>0</v>
      </c>
    </row>
    <row r="17" spans="1:6" ht="19.5" customHeight="1" x14ac:dyDescent="0.2">
      <c r="A17" s="26">
        <f>Kalkyl!A11</f>
        <v>0</v>
      </c>
      <c r="B17" s="27">
        <f>Kalkyl!B11</f>
        <v>0</v>
      </c>
      <c r="E17" s="26">
        <f t="shared" si="1"/>
        <v>0</v>
      </c>
      <c r="F17" s="27">
        <f t="shared" si="2"/>
        <v>0</v>
      </c>
    </row>
    <row r="18" spans="1:6" ht="19.5" customHeight="1" x14ac:dyDescent="0.2">
      <c r="A18" s="26">
        <f>Kalkyl!A12</f>
        <v>0</v>
      </c>
      <c r="B18" s="27">
        <f>Kalkyl!B12</f>
        <v>0</v>
      </c>
      <c r="E18" s="26">
        <f t="shared" si="1"/>
        <v>0</v>
      </c>
      <c r="F18" s="27">
        <f t="shared" si="2"/>
        <v>0</v>
      </c>
    </row>
    <row r="19" spans="1:6" ht="19.5" customHeight="1" x14ac:dyDescent="0.2">
      <c r="A19" s="26">
        <f>Kalkyl!A13</f>
        <v>0</v>
      </c>
      <c r="B19" s="27">
        <f>Kalkyl!B13</f>
        <v>0</v>
      </c>
      <c r="E19" s="26">
        <f t="shared" si="1"/>
        <v>0</v>
      </c>
      <c r="F19" s="27">
        <f t="shared" si="2"/>
        <v>0</v>
      </c>
    </row>
    <row r="20" spans="1:6" ht="19.5" customHeight="1" x14ac:dyDescent="0.2">
      <c r="A20" s="26">
        <f>Kalkyl!A14</f>
        <v>0</v>
      </c>
      <c r="B20" s="27">
        <f>Kalkyl!B14</f>
        <v>0</v>
      </c>
      <c r="E20" s="26">
        <f t="shared" si="1"/>
        <v>0</v>
      </c>
      <c r="F20" s="27">
        <f t="shared" si="2"/>
        <v>0</v>
      </c>
    </row>
    <row r="21" spans="1:6" ht="19.5" customHeight="1" x14ac:dyDescent="0.2">
      <c r="A21" s="28" t="s">
        <v>24</v>
      </c>
      <c r="B21" s="29">
        <f>SUM(B11:B20)</f>
        <v>0</v>
      </c>
      <c r="E21" s="28" t="s">
        <v>24</v>
      </c>
      <c r="F21" s="29">
        <f>SUM(F11:F20)</f>
        <v>0</v>
      </c>
    </row>
    <row r="22" spans="1:6" ht="15.75" x14ac:dyDescent="0.2">
      <c r="A22" s="30"/>
      <c r="B22" s="31"/>
      <c r="E22" s="30"/>
      <c r="F22" s="31"/>
    </row>
    <row r="23" spans="1:6" ht="15.75" x14ac:dyDescent="0.25">
      <c r="A23" s="32"/>
      <c r="B23" s="32"/>
      <c r="E23" s="32"/>
      <c r="F23" s="32"/>
    </row>
    <row r="24" spans="1:6" ht="19.5" customHeight="1" x14ac:dyDescent="0.2">
      <c r="A24" s="28" t="s">
        <v>22</v>
      </c>
      <c r="B24" s="27">
        <v>2</v>
      </c>
      <c r="E24" s="28" t="s">
        <v>22</v>
      </c>
      <c r="F24" s="27">
        <v>2</v>
      </c>
    </row>
    <row r="25" spans="1:6" ht="15.75" x14ac:dyDescent="0.2">
      <c r="A25" s="30"/>
      <c r="B25" s="33"/>
      <c r="E25" s="30"/>
      <c r="F25" s="33"/>
    </row>
    <row r="26" spans="1:6" ht="15.75" x14ac:dyDescent="0.25">
      <c r="A26" s="32"/>
      <c r="B26" s="32"/>
      <c r="E26" s="32"/>
      <c r="F26" s="32"/>
    </row>
    <row r="27" spans="1:6" ht="19.5" customHeight="1" x14ac:dyDescent="0.2">
      <c r="A27" s="28" t="s">
        <v>23</v>
      </c>
      <c r="B27" s="34" cm="1">
        <f t="array" ref="B27">Tabell4[Summa]</f>
        <v>0</v>
      </c>
      <c r="E27" s="28" t="s">
        <v>23</v>
      </c>
      <c r="F27" s="34">
        <f>B27</f>
        <v>0</v>
      </c>
    </row>
    <row r="28" spans="1:6" ht="19.5" customHeight="1" x14ac:dyDescent="0.25">
      <c r="A28" s="28" t="s">
        <v>27</v>
      </c>
      <c r="B28" s="35">
        <f>B27*10</f>
        <v>0</v>
      </c>
      <c r="E28" s="28" t="s">
        <v>26</v>
      </c>
      <c r="F28" s="35">
        <f>F27*F24</f>
        <v>0</v>
      </c>
    </row>
    <row r="29" spans="1:6" ht="19.5" customHeight="1" x14ac:dyDescent="0.25">
      <c r="E29" s="30"/>
      <c r="F29" s="37"/>
    </row>
  </sheetData>
  <printOptions horizontalCentered="1"/>
  <pageMargins left="0.70866141732283472" right="0.70866141732283472" top="2.2440944881889764" bottom="0.74803149606299213" header="0.31496062992125984" footer="0.31496062992125984"/>
  <pageSetup paperSize="9" orientation="portrait" r:id="rId1"/>
  <headerFooter>
    <oddHeader>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0EDE1D6ACDF804F86FD16D1F873911F" ma:contentTypeVersion="18" ma:contentTypeDescription="Skapa ett nytt dokument." ma:contentTypeScope="" ma:versionID="018dfc726a84779b4719069fc809822d">
  <xsd:schema xmlns:xsd="http://www.w3.org/2001/XMLSchema" xmlns:xs="http://www.w3.org/2001/XMLSchema" xmlns:p="http://schemas.microsoft.com/office/2006/metadata/properties" xmlns:ns2="b23ffc06-0a65-4ecb-9d25-c60c5a76e7c8" xmlns:ns3="fc7c0cba-5bd1-4956-b42c-d50fb2704cc9" targetNamespace="http://schemas.microsoft.com/office/2006/metadata/properties" ma:root="true" ma:fieldsID="55692c3738b5fa14745574fee9cb3728" ns2:_="" ns3:_="">
    <xsd:import namespace="b23ffc06-0a65-4ecb-9d25-c60c5a76e7c8"/>
    <xsd:import namespace="fc7c0cba-5bd1-4956-b42c-d50fb2704c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ffc06-0a65-4ecb-9d25-c60c5a76e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ildmarkeringar" ma:readOnly="false" ma:fieldId="{5cf76f15-5ced-4ddc-b409-7134ff3c332f}" ma:taxonomyMulti="true" ma:sspId="8c3d8188-6df8-4eae-828d-f42e867f82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c0cba-5bd1-4956-b42c-d50fb2704cc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61131ee-a314-41ea-a8aa-abb5a10d5035}" ma:internalName="TaxCatchAll" ma:showField="CatchAllData" ma:web="fc7c0cba-5bd1-4956-b42c-d50fb2704c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7c0cba-5bd1-4956-b42c-d50fb2704cc9" xsi:nil="true"/>
    <lcf76f155ced4ddcb4097134ff3c332f xmlns="b23ffc06-0a65-4ecb-9d25-c60c5a76e7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5107A0-1067-4E46-B37E-8C1194673B3B}"/>
</file>

<file path=customXml/itemProps2.xml><?xml version="1.0" encoding="utf-8"?>
<ds:datastoreItem xmlns:ds="http://schemas.openxmlformats.org/officeDocument/2006/customXml" ds:itemID="{20F92B0D-0372-405D-A537-91E2EACD6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F94793-CB89-4BB3-AC16-1CCAFB910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Kalkyl</vt:lpstr>
      <vt:lpstr>Utskrift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Linder</dc:creator>
  <cp:lastModifiedBy>Andre Linder</cp:lastModifiedBy>
  <cp:lastPrinted>2024-11-07T09:09:57Z</cp:lastPrinted>
  <dcterms:created xsi:type="dcterms:W3CDTF">2024-03-24T22:49:53Z</dcterms:created>
  <dcterms:modified xsi:type="dcterms:W3CDTF">2026-08-12T13:35:10Z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0x010100F0EDE1D6ACDF804F86FD16D1F873911F</vt:lpwstr>
  </property>
</Properties>
</file>